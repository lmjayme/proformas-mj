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89a\AC\Temp\"/>
    </mc:Choice>
  </mc:AlternateContent>
  <xr:revisionPtr revIDLastSave="0" documentId="8_{4E89466C-32B2-164F-8A5A-F4AB166AC009}" xr6:coauthVersionLast="47" xr6:coauthVersionMax="47" xr10:uidLastSave="{00000000-0000-0000-0000-000000000000}"/>
  <bookViews>
    <workbookView xWindow="-60" yWindow="-60" windowWidth="15480" windowHeight="11640" xr2:uid="{651AE044-B52F-4DCE-956F-0DB31B842A9F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Hoja1!$A$1:$G$67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L29" i="1"/>
  <c r="J29" i="1"/>
  <c r="K6" i="1"/>
  <c r="K9" i="1"/>
  <c r="K12" i="1"/>
  <c r="K20" i="1"/>
  <c r="K22" i="1"/>
  <c r="M58" i="1"/>
  <c r="N58" i="1"/>
  <c r="H39" i="1"/>
  <c r="B44" i="1"/>
  <c r="J49" i="1"/>
  <c r="D54" i="1"/>
  <c r="D57" i="1"/>
  <c r="F5" i="1"/>
  <c r="N31" i="1"/>
  <c r="J50" i="1"/>
  <c r="G53" i="1"/>
  <c r="G54" i="1"/>
  <c r="L40" i="1"/>
  <c r="J42" i="1"/>
  <c r="K42" i="1"/>
  <c r="L42" i="1"/>
</calcChain>
</file>

<file path=xl/sharedStrings.xml><?xml version="1.0" encoding="utf-8"?>
<sst xmlns="http://schemas.openxmlformats.org/spreadsheetml/2006/main" count="131" uniqueCount="86">
  <si>
    <t>Señores:</t>
  </si>
  <si>
    <t>Proveedor:</t>
  </si>
  <si>
    <t>FOB:</t>
  </si>
  <si>
    <t>Contenido:</t>
  </si>
  <si>
    <t>FLETE: APROX</t>
  </si>
  <si>
    <t>SEGURO:</t>
  </si>
  <si>
    <t>ADV:</t>
  </si>
  <si>
    <t>IPM:</t>
  </si>
  <si>
    <t>IGV:</t>
  </si>
  <si>
    <t>S. DESPACHO:</t>
  </si>
  <si>
    <t>T.IMPUESTOS:</t>
  </si>
  <si>
    <t xml:space="preserve"> </t>
  </si>
  <si>
    <t>*</t>
  </si>
  <si>
    <t>TOTAL GASTOS</t>
  </si>
  <si>
    <t>DEPOSITOS A  CUENTA</t>
  </si>
  <si>
    <t>FACTURAS</t>
  </si>
  <si>
    <t>PESO</t>
  </si>
  <si>
    <t>VOLUMEN</t>
  </si>
  <si>
    <t>CANTIDAD</t>
  </si>
  <si>
    <t>Importación:</t>
  </si>
  <si>
    <t>Por intermedio de la presente nos es grato saludarles y a la vez detallarles nuestra propuesta.</t>
  </si>
  <si>
    <t>Datos de la Carga:</t>
  </si>
  <si>
    <t>:</t>
  </si>
  <si>
    <t>GASTOS EXW**</t>
  </si>
  <si>
    <t>Gastos en destino:</t>
  </si>
  <si>
    <t>Otros</t>
  </si>
  <si>
    <t>Gastos Agencia</t>
  </si>
  <si>
    <t>Impuetos + Percepción:</t>
  </si>
  <si>
    <t>IMP.</t>
  </si>
  <si>
    <t>PERCEP.</t>
  </si>
  <si>
    <t>Comisión de Ag.</t>
  </si>
  <si>
    <t>IGV</t>
  </si>
  <si>
    <t>SUB TOTAL GASTOS</t>
  </si>
  <si>
    <t>Total Gastos Ag</t>
  </si>
  <si>
    <t>VALOR CIF:</t>
  </si>
  <si>
    <t>Total Referencia S/.</t>
  </si>
  <si>
    <t>Derechos:</t>
  </si>
  <si>
    <t>-</t>
  </si>
  <si>
    <t>CARGA GENERAL,NO IMO</t>
  </si>
  <si>
    <t>PROVEEDOR :</t>
  </si>
  <si>
    <t>DESCARGA</t>
  </si>
  <si>
    <t>V°B°</t>
  </si>
  <si>
    <t>INCL. IGV</t>
  </si>
  <si>
    <t>MIN. 30+IGV</t>
  </si>
  <si>
    <t>SEGURO</t>
  </si>
  <si>
    <t>30+IGV</t>
  </si>
  <si>
    <t>GASTO LOCAL :</t>
  </si>
  <si>
    <t xml:space="preserve">FLETE </t>
  </si>
  <si>
    <t>100+IGV</t>
  </si>
  <si>
    <t>TOTAL A PAGAR</t>
  </si>
  <si>
    <t>TOTAL CON DSCT</t>
  </si>
  <si>
    <t>(*) MONTOS CONSIDERADOS EN EL IGV</t>
  </si>
  <si>
    <t>IGV (*)</t>
  </si>
  <si>
    <t>* LOS BOOKING PUEDEN TENER DEMORAS</t>
  </si>
  <si>
    <r>
      <rPr>
        <b/>
        <sz val="10"/>
        <color indexed="9"/>
        <rFont val="Arial"/>
        <family val="2"/>
      </rPr>
      <t>*</t>
    </r>
    <r>
      <rPr>
        <sz val="10"/>
        <color indexed="9"/>
        <rFont val="Arial"/>
        <family val="2"/>
      </rPr>
      <t xml:space="preserve"> Tarifas sujetas a disponibilidad de espacio y equipo.
 </t>
    </r>
  </si>
  <si>
    <t>* PESO MAX. 20 TONS INCLUIDO TARA</t>
  </si>
  <si>
    <r>
      <rPr>
        <b/>
        <sz val="10"/>
        <color indexed="9"/>
        <rFont val="Arial"/>
        <family val="2"/>
      </rPr>
      <t>*</t>
    </r>
    <r>
      <rPr>
        <sz val="10"/>
        <color indexed="9"/>
        <rFont val="Arial"/>
        <family val="2"/>
      </rPr>
      <t xml:space="preserve"> Instrucciones deben ser enviadas con anticipación</t>
    </r>
  </si>
  <si>
    <t xml:space="preserve">Total gross weight : </t>
  </si>
  <si>
    <t>Total  – Callao</t>
  </si>
  <si>
    <t>TOTAL FLETE</t>
  </si>
  <si>
    <t>TOTAL EXW</t>
  </si>
  <si>
    <t>TOTAL ORIGEN</t>
  </si>
  <si>
    <t>TOTAL GAST.LOCAL</t>
  </si>
  <si>
    <t>TARIFA ZONA</t>
  </si>
  <si>
    <t>MIN</t>
  </si>
  <si>
    <t>LOCAL CHARGE</t>
  </si>
  <si>
    <t>PESO/VOL</t>
  </si>
  <si>
    <t>kl/vol</t>
  </si>
  <si>
    <t>Atención: Srta.</t>
  </si>
  <si>
    <t>medidas</t>
  </si>
  <si>
    <t>USD</t>
  </si>
  <si>
    <t xml:space="preserve">Rua Alfredo da Costa Figo, n°. 102 | Jardim Santa Cândida | </t>
  </si>
  <si>
    <t>Campinas - SP | CEP 13087-534 | Brazil</t>
  </si>
  <si>
    <t xml:space="preserve">* Pesos y dimensiones: </t>
  </si>
  <si>
    <t>LCL MARITIMO</t>
  </si>
  <si>
    <t>COMISION 0.00%</t>
  </si>
  <si>
    <t>MIN.0 USD</t>
  </si>
  <si>
    <t>OCEAN FREIGHT</t>
  </si>
  <si>
    <t>TRANS. FEE.-</t>
  </si>
  <si>
    <t>Gastos administrativos</t>
  </si>
  <si>
    <t>retiro de carga</t>
  </si>
  <si>
    <t>aprox</t>
  </si>
  <si>
    <t>ENERGY AND SOLUTIONS ELECTRICAL SAC</t>
  </si>
  <si>
    <t>T.C3.35</t>
  </si>
  <si>
    <t>PROFORMA MJ240114</t>
  </si>
  <si>
    <t>conduccion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</si>
</sst>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_([$$-409]* #,##0.00_);_([$$-409]* \(#,##0.00\);_([$$-409]* \-??_);_(@_)"/>
    <numFmt numFmtId="166" formatCode="_(&quot;S/. &quot;* #,##0.00_);_(&quot;S/. &quot;* \(#,##0.00\);_(&quot;S/. &quot;* \-??_);_(@_)"/>
    <numFmt numFmtId="167" formatCode="_ &quot;S/. &quot;* #,##0.00_ ;_ &quot;S/. &quot;* \-#,##0.00_ ;_ &quot;S/. &quot;* \-??_ ;_ @_ "/>
    <numFmt numFmtId="168" formatCode="_-[$$-409]* #,##0.00_ ;_-[$$-409]* \-#,##0.00\ ;_-[$$-409]* &quot;-&quot;??_ ;_-@_ "/>
    <numFmt numFmtId="169" formatCode="[$-280A]dddd\,\ dd&quot; de &quot;mmmm&quot; de &quot;yyyy;@"/>
    <numFmt numFmtId="170" formatCode="_-[$$-80A]* #,##0.00_-;\-[$$-80A]* #,##0.00_-;_-[$$-80A]* &quot;-&quot;??_-;_-@_-"/>
  </numFmts>
  <fonts count="34" x14ac:knownFonts="1">
    <font>
      <sz val="10"/>
      <name val="Arial"/>
      <family val="2"/>
    </font>
    <font>
      <b/>
      <sz val="16"/>
      <color indexed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8"/>
      <name val="Arial"/>
      <family val="2"/>
    </font>
    <font>
      <sz val="7"/>
      <name val="Arial"/>
      <family val="2"/>
    </font>
    <font>
      <sz val="8"/>
      <name val="Arial"/>
      <family val="2"/>
    </font>
    <font>
      <u val="singleAccounting"/>
      <sz val="10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color indexed="12"/>
      <name val="Arial"/>
      <family val="2"/>
    </font>
    <font>
      <u val="doubleAccounting"/>
      <sz val="9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9"/>
      <color rgb="FFFF0000"/>
      <name val="Arial"/>
      <family val="2"/>
    </font>
    <font>
      <b/>
      <sz val="9"/>
      <color rgb="FF0000FF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8"/>
      <color rgb="FFFF0000"/>
      <name val="Arial"/>
      <family val="2"/>
    </font>
    <font>
      <sz val="9"/>
      <color rgb="FFFF0000"/>
      <name val="Arial"/>
      <family val="2"/>
    </font>
    <font>
      <sz val="9"/>
      <color rgb="FF0000FF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7"/>
      <color theme="0"/>
      <name val="Arial"/>
      <family val="2"/>
    </font>
    <font>
      <sz val="10"/>
      <color rgb="FF0000FF"/>
      <name val="Cambria"/>
      <family val="1"/>
      <scheme val="major"/>
    </font>
    <font>
      <b/>
      <sz val="8"/>
      <color rgb="FF0000FF"/>
      <name val="Cambria"/>
      <family val="1"/>
      <scheme val="major"/>
    </font>
    <font>
      <sz val="10"/>
      <name val="Cambria"/>
      <family val="1"/>
      <scheme val="major"/>
    </font>
    <font>
      <b/>
      <sz val="10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0" fontId="7" fillId="0" borderId="0"/>
    <xf numFmtId="166" fontId="6" fillId="0" borderId="0" applyFill="0" applyBorder="0" applyAlignment="0" applyProtection="0"/>
  </cellStyleXfs>
  <cellXfs count="117">
    <xf numFmtId="0" fontId="0" fillId="0" borderId="0" xfId="0"/>
    <xf numFmtId="165" fontId="0" fillId="0" borderId="0" xfId="0" applyNumberFormat="1"/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4" fillId="0" borderId="0" xfId="0" applyFont="1"/>
    <xf numFmtId="0" fontId="3" fillId="0" borderId="0" xfId="0" applyFont="1"/>
    <xf numFmtId="165" fontId="5" fillId="0" borderId="0" xfId="0" applyNumberFormat="1" applyFont="1"/>
    <xf numFmtId="0" fontId="4" fillId="0" borderId="1" xfId="0" applyFont="1" applyBorder="1"/>
    <xf numFmtId="165" fontId="4" fillId="0" borderId="1" xfId="0" applyNumberFormat="1" applyFont="1" applyBorder="1"/>
    <xf numFmtId="165" fontId="4" fillId="0" borderId="0" xfId="0" applyNumberFormat="1" applyFont="1"/>
    <xf numFmtId="167" fontId="0" fillId="0" borderId="0" xfId="0" applyNumberFormat="1" applyFont="1"/>
    <xf numFmtId="0" fontId="5" fillId="0" borderId="0" xfId="0" applyFont="1" applyFill="1" applyBorder="1"/>
    <xf numFmtId="168" fontId="0" fillId="0" borderId="0" xfId="0" applyNumberFormat="1"/>
    <xf numFmtId="10" fontId="0" fillId="0" borderId="0" xfId="0" applyNumberFormat="1"/>
    <xf numFmtId="0" fontId="7" fillId="0" borderId="0" xfId="1"/>
    <xf numFmtId="164" fontId="0" fillId="0" borderId="0" xfId="0" applyNumberFormat="1"/>
    <xf numFmtId="166" fontId="6" fillId="0" borderId="0" xfId="2"/>
    <xf numFmtId="166" fontId="6" fillId="0" borderId="0" xfId="2" applyFill="1"/>
    <xf numFmtId="165" fontId="8" fillId="0" borderId="0" xfId="0" applyNumberFormat="1" applyFont="1"/>
    <xf numFmtId="0" fontId="9" fillId="0" borderId="0" xfId="0" applyFont="1"/>
    <xf numFmtId="4" fontId="0" fillId="0" borderId="0" xfId="0" applyNumberFormat="1"/>
    <xf numFmtId="4" fontId="0" fillId="2" borderId="0" xfId="0" applyNumberFormat="1" applyFill="1"/>
    <xf numFmtId="4" fontId="0" fillId="0" borderId="0" xfId="0" applyNumberFormat="1" applyFill="1"/>
    <xf numFmtId="165" fontId="10" fillId="0" borderId="0" xfId="0" applyNumberFormat="1" applyFont="1"/>
    <xf numFmtId="0" fontId="0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165" fontId="8" fillId="0" borderId="0" xfId="0" applyNumberFormat="1" applyFont="1" applyAlignment="1">
      <alignment horizontal="center" vertical="center"/>
    </xf>
    <xf numFmtId="170" fontId="0" fillId="0" borderId="0" xfId="0" applyNumberFormat="1"/>
    <xf numFmtId="0" fontId="0" fillId="2" borderId="0" xfId="0" applyFill="1"/>
    <xf numFmtId="0" fontId="12" fillId="0" borderId="2" xfId="0" applyFont="1" applyBorder="1"/>
    <xf numFmtId="165" fontId="0" fillId="0" borderId="0" xfId="0" applyNumberFormat="1" applyAlignment="1">
      <alignment horizontal="center"/>
    </xf>
    <xf numFmtId="0" fontId="1" fillId="0" borderId="0" xfId="0" applyFont="1" applyBorder="1" applyAlignment="1">
      <alignment vertical="center"/>
    </xf>
    <xf numFmtId="9" fontId="0" fillId="0" borderId="3" xfId="0" applyNumberFormat="1" applyBorder="1" applyAlignment="1">
      <alignment horizontal="center"/>
    </xf>
    <xf numFmtId="165" fontId="0" fillId="0" borderId="3" xfId="0" applyNumberFormat="1" applyFill="1" applyBorder="1"/>
    <xf numFmtId="166" fontId="0" fillId="0" borderId="3" xfId="0" applyNumberFormat="1" applyFill="1" applyBorder="1"/>
    <xf numFmtId="170" fontId="0" fillId="2" borderId="0" xfId="0" applyNumberFormat="1" applyFill="1"/>
    <xf numFmtId="0" fontId="5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Fill="1" applyAlignment="1">
      <alignment vertical="center"/>
    </xf>
    <xf numFmtId="170" fontId="1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66" fontId="11" fillId="0" borderId="0" xfId="2" applyFont="1" applyAlignment="1">
      <alignment vertical="center"/>
    </xf>
    <xf numFmtId="170" fontId="0" fillId="0" borderId="0" xfId="0" applyNumberFormat="1" applyAlignment="1">
      <alignment vertical="center"/>
    </xf>
    <xf numFmtId="166" fontId="6" fillId="0" borderId="0" xfId="2" applyAlignment="1">
      <alignment vertical="center"/>
    </xf>
    <xf numFmtId="0" fontId="0" fillId="0" borderId="0" xfId="0" applyAlignment="1">
      <alignment horizontal="center" vertical="center"/>
    </xf>
    <xf numFmtId="170" fontId="0" fillId="0" borderId="0" xfId="0" applyNumberFormat="1" applyFont="1" applyAlignment="1">
      <alignment vertical="center"/>
    </xf>
    <xf numFmtId="0" fontId="3" fillId="0" borderId="0" xfId="0" applyFont="1" applyAlignment="1">
      <alignment horizontal="left"/>
    </xf>
    <xf numFmtId="168" fontId="4" fillId="0" borderId="4" xfId="0" applyNumberFormat="1" applyFont="1" applyBorder="1"/>
    <xf numFmtId="170" fontId="13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166" fontId="13" fillId="0" borderId="0" xfId="2" applyFont="1" applyAlignment="1">
      <alignment vertical="center"/>
    </xf>
    <xf numFmtId="0" fontId="0" fillId="0" borderId="0" xfId="0" applyFont="1" applyAlignment="1">
      <alignment vertical="center"/>
    </xf>
    <xf numFmtId="0" fontId="20" fillId="0" borderId="1" xfId="0" applyFont="1" applyBorder="1"/>
    <xf numFmtId="0" fontId="20" fillId="0" borderId="5" xfId="0" applyFont="1" applyBorder="1" applyAlignment="1">
      <alignment horizontal="left"/>
    </xf>
    <xf numFmtId="0" fontId="4" fillId="0" borderId="0" xfId="0" applyFont="1" applyAlignment="1">
      <alignment horizontal="right"/>
    </xf>
    <xf numFmtId="166" fontId="4" fillId="0" borderId="6" xfId="0" applyNumberFormat="1" applyFont="1" applyBorder="1"/>
    <xf numFmtId="165" fontId="0" fillId="0" borderId="0" xfId="0" applyNumberFormat="1" applyFont="1"/>
    <xf numFmtId="165" fontId="3" fillId="0" borderId="0" xfId="0" applyNumberFormat="1" applyFont="1" applyAlignment="1">
      <alignment horizontal="center" vertical="center"/>
    </xf>
    <xf numFmtId="165" fontId="3" fillId="0" borderId="0" xfId="0" applyNumberFormat="1" applyFont="1"/>
    <xf numFmtId="0" fontId="3" fillId="0" borderId="0" xfId="0" applyFont="1" applyAlignment="1">
      <alignment horizontal="right"/>
    </xf>
    <xf numFmtId="166" fontId="3" fillId="2" borderId="0" xfId="0" applyNumberFormat="1" applyFont="1" applyFill="1"/>
    <xf numFmtId="170" fontId="3" fillId="2" borderId="0" xfId="0" applyNumberFormat="1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166" fontId="3" fillId="2" borderId="0" xfId="2" applyFont="1" applyFill="1" applyAlignment="1">
      <alignment vertical="center"/>
    </xf>
    <xf numFmtId="0" fontId="3" fillId="2" borderId="0" xfId="0" applyFont="1" applyFill="1"/>
    <xf numFmtId="170" fontId="21" fillId="0" borderId="0" xfId="0" applyNumberFormat="1" applyFont="1" applyAlignment="1">
      <alignment vertical="center"/>
    </xf>
    <xf numFmtId="165" fontId="22" fillId="0" borderId="0" xfId="0" applyNumberFormat="1" applyFont="1" applyAlignment="1">
      <alignment horizontal="right"/>
    </xf>
    <xf numFmtId="165" fontId="23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10" fillId="0" borderId="0" xfId="0" applyFont="1"/>
    <xf numFmtId="166" fontId="21" fillId="0" borderId="0" xfId="2" applyFont="1" applyAlignment="1">
      <alignment vertical="center"/>
    </xf>
    <xf numFmtId="166" fontId="24" fillId="0" borderId="0" xfId="2" applyFont="1" applyAlignment="1">
      <alignment vertical="center"/>
    </xf>
    <xf numFmtId="166" fontId="16" fillId="0" borderId="7" xfId="2" applyFont="1" applyBorder="1" applyAlignment="1">
      <alignment vertical="center"/>
    </xf>
    <xf numFmtId="170" fontId="24" fillId="0" borderId="0" xfId="0" applyNumberFormat="1" applyFont="1" applyAlignment="1">
      <alignment vertical="center"/>
    </xf>
    <xf numFmtId="170" fontId="16" fillId="0" borderId="7" xfId="0" applyNumberFormat="1" applyFont="1" applyBorder="1" applyAlignment="1">
      <alignment vertical="center"/>
    </xf>
    <xf numFmtId="170" fontId="25" fillId="0" borderId="0" xfId="0" applyNumberFormat="1" applyFont="1" applyAlignment="1">
      <alignment vertical="center"/>
    </xf>
    <xf numFmtId="166" fontId="25" fillId="0" borderId="0" xfId="2" applyFont="1" applyAlignment="1">
      <alignment vertical="center"/>
    </xf>
    <xf numFmtId="170" fontId="3" fillId="0" borderId="0" xfId="0" applyNumberFormat="1" applyFont="1" applyAlignment="1">
      <alignment vertical="center"/>
    </xf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wrapText="1"/>
    </xf>
    <xf numFmtId="0" fontId="0" fillId="0" borderId="0" xfId="0" applyAlignment="1">
      <alignment horizontal="right" wrapText="1"/>
    </xf>
    <xf numFmtId="170" fontId="0" fillId="0" borderId="0" xfId="0" applyNumberFormat="1" applyFont="1"/>
    <xf numFmtId="0" fontId="0" fillId="0" borderId="0" xfId="0" applyFont="1" applyAlignment="1">
      <alignment horizontal="left"/>
    </xf>
    <xf numFmtId="0" fontId="0" fillId="2" borderId="0" xfId="0" applyFill="1" applyAlignment="1">
      <alignment horizontal="right"/>
    </xf>
    <xf numFmtId="0" fontId="0" fillId="0" borderId="0" xfId="0" applyFill="1"/>
    <xf numFmtId="0" fontId="28" fillId="3" borderId="0" xfId="0" applyFont="1" applyFill="1"/>
    <xf numFmtId="170" fontId="28" fillId="3" borderId="0" xfId="0" applyNumberFormat="1" applyFont="1" applyFill="1" applyAlignment="1">
      <alignment vertical="center"/>
    </xf>
    <xf numFmtId="170" fontId="0" fillId="2" borderId="0" xfId="0" applyNumberFormat="1" applyFill="1" applyAlignment="1">
      <alignment vertical="center"/>
    </xf>
    <xf numFmtId="0" fontId="3" fillId="3" borderId="0" xfId="0" applyFont="1" applyFill="1"/>
    <xf numFmtId="170" fontId="3" fillId="3" borderId="0" xfId="0" applyNumberFormat="1" applyFont="1" applyFill="1" applyAlignment="1">
      <alignment vertical="center"/>
    </xf>
    <xf numFmtId="165" fontId="21" fillId="0" borderId="0" xfId="0" applyNumberFormat="1" applyFont="1" applyAlignment="1">
      <alignment horizontal="center"/>
    </xf>
    <xf numFmtId="165" fontId="23" fillId="0" borderId="0" xfId="0" applyNumberFormat="1" applyFont="1" applyAlignment="1">
      <alignment horizontal="center"/>
    </xf>
    <xf numFmtId="0" fontId="29" fillId="0" borderId="0" xfId="0" applyFont="1"/>
    <xf numFmtId="166" fontId="3" fillId="0" borderId="0" xfId="2" applyFont="1" applyAlignment="1">
      <alignment vertical="center"/>
    </xf>
    <xf numFmtId="165" fontId="0" fillId="0" borderId="0" xfId="0" applyNumberFormat="1" applyAlignment="1">
      <alignment horizontal="left"/>
    </xf>
    <xf numFmtId="165" fontId="26" fillId="0" borderId="0" xfId="0" applyNumberFormat="1" applyFont="1" applyAlignment="1">
      <alignment horizontal="right"/>
    </xf>
    <xf numFmtId="0" fontId="21" fillId="0" borderId="0" xfId="0" applyFont="1"/>
    <xf numFmtId="0" fontId="4" fillId="0" borderId="0" xfId="0" applyFont="1" applyFill="1" applyBorder="1"/>
    <xf numFmtId="0" fontId="30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Font="1" applyBorder="1" applyAlignment="1">
      <alignment horizontal="left" wrapText="1"/>
    </xf>
    <xf numFmtId="0" fontId="3" fillId="0" borderId="0" xfId="0" applyFont="1" applyAlignment="1">
      <alignment horizontal="center"/>
    </xf>
    <xf numFmtId="169" fontId="0" fillId="0" borderId="0" xfId="0" applyNumberFormat="1" applyAlignment="1">
      <alignment horizontal="right"/>
    </xf>
    <xf numFmtId="0" fontId="1" fillId="0" borderId="0" xfId="0" applyFont="1" applyBorder="1" applyAlignment="1">
      <alignment horizontal="left" vertical="center"/>
    </xf>
    <xf numFmtId="0" fontId="31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3" fillId="0" borderId="0" xfId="0" applyFont="1" applyAlignment="1">
      <alignment horizontal="center"/>
    </xf>
    <xf numFmtId="0" fontId="27" fillId="0" borderId="0" xfId="0" applyFont="1" applyAlignment="1">
      <alignment horizontal="center" vertical="top" wrapText="1"/>
    </xf>
    <xf numFmtId="0" fontId="27" fillId="0" borderId="0" xfId="0" applyFont="1" applyAlignment="1">
      <alignment horizontal="center" vertical="top"/>
    </xf>
  </cellXfs>
  <cellStyles count="3">
    <cellStyle name="Excel Built-in Normal" xfId="1" xr:uid="{9BE58BAB-D783-4E45-B273-93BA93F12D5A}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57149</xdr:rowOff>
    </xdr:from>
    <xdr:to>
      <xdr:col>3</xdr:col>
      <xdr:colOff>209550</xdr:colOff>
      <xdr:row>3</xdr:row>
      <xdr:rowOff>76200</xdr:rowOff>
    </xdr:to>
    <xdr:sp macro="" textlink="">
      <xdr:nvSpPr>
        <xdr:cNvPr id="4" name="7 Rectángulo redondeado">
          <a:extLst>
            <a:ext uri="{FF2B5EF4-FFF2-40B4-BE49-F238E27FC236}">
              <a16:creationId xmlns:a16="http://schemas.microsoft.com/office/drawing/2014/main" id="{7FE3684E-466E-6D52-5876-D2A36BC0576E}"/>
            </a:ext>
          </a:extLst>
        </xdr:cNvPr>
        <xdr:cNvSpPr/>
      </xdr:nvSpPr>
      <xdr:spPr>
        <a:xfrm>
          <a:off x="0" y="57149"/>
          <a:ext cx="2533650" cy="1057276"/>
        </a:xfrm>
        <a:prstGeom prst="roundRect">
          <a:avLst>
            <a:gd name="adj" fmla="val 8822"/>
          </a:avLst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900" b="1">
              <a:solidFill>
                <a:schemeClr val="tx1"/>
              </a:solidFill>
              <a:latin typeface="+mj-lt"/>
            </a:rPr>
            <a:t>MJ LOGISTIC &amp; SYSTEMS EIRL</a:t>
          </a:r>
        </a:p>
        <a:p>
          <a:r>
            <a:rPr lang="es-PE" sz="800" b="0">
              <a:solidFill>
                <a:schemeClr val="tx1"/>
              </a:solidFill>
              <a:latin typeface="+mj-lt"/>
            </a:rPr>
            <a:t>Of. Operativa</a:t>
          </a:r>
          <a:r>
            <a:rPr lang="es-PE" sz="800" b="0" baseline="0">
              <a:solidFill>
                <a:schemeClr val="tx1"/>
              </a:solidFill>
              <a:latin typeface="+mj-lt"/>
            </a:rPr>
            <a:t> Callao: </a:t>
          </a:r>
          <a:r>
            <a:rPr lang="es-ES" sz="800" b="0" baseline="0">
              <a:solidFill>
                <a:schemeClr val="tx1"/>
              </a:solidFill>
              <a:latin typeface="+mj-lt"/>
              <a:ea typeface="+mn-ea"/>
              <a:cs typeface="+mn-cs"/>
            </a:rPr>
            <a:t>MZ “G”53 LT.20 SECTOR 5 BOCANEGRA – CALLAO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800" b="0" baseline="0">
              <a:solidFill>
                <a:schemeClr val="tx1"/>
              </a:solidFill>
              <a:latin typeface="+mj-lt"/>
              <a:ea typeface="+mn-ea"/>
              <a:cs typeface="+mn-cs"/>
            </a:rPr>
            <a:t>Telefono 01 4697989</a:t>
          </a:r>
        </a:p>
        <a:p>
          <a:pPr algn="l"/>
          <a:r>
            <a:rPr lang="es-PE" sz="800" b="0" baseline="0">
              <a:solidFill>
                <a:schemeClr val="tx1"/>
              </a:solidFill>
              <a:latin typeface="+mj-lt"/>
            </a:rPr>
            <a:t>Celular   </a:t>
          </a:r>
          <a:r>
            <a:rPr lang="es-PE" sz="800" b="0">
              <a:solidFill>
                <a:schemeClr val="tx1"/>
              </a:solidFill>
              <a:latin typeface="+mj-lt"/>
              <a:ea typeface="+mn-ea"/>
              <a:cs typeface="+mn-cs"/>
            </a:rPr>
            <a:t>970048915 / 922331964</a:t>
          </a:r>
        </a:p>
        <a:p>
          <a:pPr algn="l"/>
          <a:r>
            <a:rPr lang="es-PE" sz="800" b="0" baseline="0">
              <a:solidFill>
                <a:schemeClr val="tx1"/>
              </a:solidFill>
              <a:latin typeface="+mj-lt"/>
              <a:ea typeface="+mn-ea"/>
              <a:cs typeface="+mn-cs"/>
            </a:rPr>
            <a:t>Email   </a:t>
          </a:r>
          <a:r>
            <a:rPr lang="es-PE" sz="800" b="0" baseline="0">
              <a:solidFill>
                <a:srgbClr val="0000FF"/>
              </a:solidFill>
              <a:latin typeface="+mj-lt"/>
              <a:ea typeface="+mn-ea"/>
              <a:cs typeface="+mn-cs"/>
            </a:rPr>
            <a:t>lmjayme@mjlogistic.com</a:t>
          </a:r>
        </a:p>
        <a:p>
          <a:pPr algn="l"/>
          <a:r>
            <a:rPr lang="es-PE" sz="800" b="0" baseline="0">
              <a:solidFill>
                <a:schemeClr val="tx1"/>
              </a:solidFill>
              <a:latin typeface="+mj-lt"/>
              <a:ea typeface="+mn-ea"/>
              <a:cs typeface="+mn-cs"/>
            </a:rPr>
            <a:t>Web  </a:t>
          </a:r>
          <a:r>
            <a:rPr lang="es-PE" sz="800" b="0" baseline="0">
              <a:solidFill>
                <a:srgbClr val="0000FF"/>
              </a:solidFill>
              <a:latin typeface="+mj-lt"/>
              <a:ea typeface="+mn-ea"/>
              <a:cs typeface="+mn-cs"/>
            </a:rPr>
            <a:t> www.mjlogistic.com</a:t>
          </a:r>
        </a:p>
        <a:p>
          <a:pPr algn="l"/>
          <a:endParaRPr lang="es-PE" sz="200"/>
        </a:p>
        <a:p>
          <a:pPr algn="l"/>
          <a:endParaRPr lang="es-PE" sz="1100" b="1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62</xdr:row>
      <xdr:rowOff>38100</xdr:rowOff>
    </xdr:from>
    <xdr:to>
      <xdr:col>5</xdr:col>
      <xdr:colOff>133350</xdr:colOff>
      <xdr:row>66</xdr:row>
      <xdr:rowOff>76200</xdr:rowOff>
    </xdr:to>
    <xdr:sp macro="" textlink="">
      <xdr:nvSpPr>
        <xdr:cNvPr id="5" name="7 Rectángulo redondeado">
          <a:extLst>
            <a:ext uri="{FF2B5EF4-FFF2-40B4-BE49-F238E27FC236}">
              <a16:creationId xmlns:a16="http://schemas.microsoft.com/office/drawing/2014/main" id="{43391C99-42D9-FA37-98C7-D9F5FBE39A8D}"/>
            </a:ext>
          </a:extLst>
        </xdr:cNvPr>
        <xdr:cNvSpPr/>
      </xdr:nvSpPr>
      <xdr:spPr>
        <a:xfrm>
          <a:off x="0" y="8591550"/>
          <a:ext cx="4314825" cy="647700"/>
        </a:xfrm>
        <a:prstGeom prst="roundRect">
          <a:avLst>
            <a:gd name="adj" fmla="val 8822"/>
          </a:avLst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000" b="1">
              <a:solidFill>
                <a:schemeClr val="tx1"/>
              </a:solidFill>
              <a:latin typeface="+mn-lt"/>
            </a:rPr>
            <a:t>Banco: BCP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000" b="0">
              <a:solidFill>
                <a:schemeClr val="tx1"/>
              </a:solidFill>
              <a:latin typeface="+mn-lt"/>
              <a:ea typeface="+mn-ea"/>
              <a:cs typeface="+mn-cs"/>
            </a:rPr>
            <a:t>CTA. CTE DOLARES: 192-21708192-1-64      CTA. CTE SOLES: 193-1901830-0-03                                       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nombre de MJ LOGISTIC &amp; SYSTEMS EIRL.</a:t>
          </a:r>
          <a:endParaRPr lang="es-PE">
            <a:effectLst/>
          </a:endParaRPr>
        </a:p>
        <a:p>
          <a:pPr algn="l"/>
          <a:endParaRPr lang="es-PE" sz="1100" b="1">
            <a:solidFill>
              <a:schemeClr val="accent6">
                <a:lumMod val="75000"/>
              </a:schemeClr>
            </a:solidFill>
            <a:latin typeface="+mn-lt"/>
          </a:endParaRPr>
        </a:p>
      </xdr:txBody>
    </xdr:sp>
    <xdr:clientData/>
  </xdr:twoCellAnchor>
  <xdr:twoCellAnchor editAs="oneCell">
    <xdr:from>
      <xdr:col>5</xdr:col>
      <xdr:colOff>323850</xdr:colOff>
      <xdr:row>0</xdr:row>
      <xdr:rowOff>0</xdr:rowOff>
    </xdr:from>
    <xdr:to>
      <xdr:col>6</xdr:col>
      <xdr:colOff>1133475</xdr:colOff>
      <xdr:row>4</xdr:row>
      <xdr:rowOff>28575</xdr:rowOff>
    </xdr:to>
    <xdr:pic>
      <xdr:nvPicPr>
        <xdr:cNvPr id="5395" name="Imagen 5">
          <a:extLst>
            <a:ext uri="{FF2B5EF4-FFF2-40B4-BE49-F238E27FC236}">
              <a16:creationId xmlns:a16="http://schemas.microsoft.com/office/drawing/2014/main" id="{5FD72033-3CFB-AA2D-95CB-EB643AC1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0"/>
          <a:ext cx="172402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ADF0-FB85-4471-A79B-7A43A7CF2231}">
  <dimension ref="A2:N69"/>
  <sheetViews>
    <sheetView tabSelected="1" topLeftCell="A28" zoomScaleNormal="100" workbookViewId="0">
      <selection activeCell="E60" sqref="E60"/>
    </sheetView>
  </sheetViews>
  <sheetFormatPr defaultRowHeight="12.75" x14ac:dyDescent="0.15"/>
  <cols>
    <col min="1" max="1" width="14.6953125" customWidth="1"/>
    <col min="2" max="2" width="18.33984375" style="1" customWidth="1"/>
    <col min="3" max="3" width="1.88671875" style="1" customWidth="1"/>
    <col min="4" max="4" width="13.75390625" customWidth="1"/>
    <col min="5" max="5" width="14.15625" customWidth="1"/>
    <col min="6" max="6" width="13.75390625" customWidth="1"/>
    <col min="7" max="7" width="17.52734375" customWidth="1"/>
    <col min="8" max="8" width="12.26953125" customWidth="1"/>
    <col min="9" max="9" width="4.1796875" customWidth="1"/>
    <col min="10" max="10" width="16.31640625" customWidth="1"/>
    <col min="11" max="11" width="11.4609375" customWidth="1"/>
    <col min="12" max="12" width="16.046875" customWidth="1"/>
    <col min="13" max="13" width="12.26953125" bestFit="1" customWidth="1"/>
    <col min="14" max="14" width="11.4609375" customWidth="1"/>
    <col min="15" max="15" width="1.078125" customWidth="1"/>
    <col min="16" max="256" width="11.4609375" customWidth="1"/>
  </cols>
  <sheetData>
    <row r="2" spans="1:14" ht="39" customHeight="1" x14ac:dyDescent="0.15">
      <c r="A2" s="2"/>
      <c r="B2" s="3"/>
      <c r="C2" s="3"/>
      <c r="D2" s="3"/>
      <c r="E2" s="3"/>
      <c r="F2" s="3"/>
      <c r="G2" s="3"/>
      <c r="H2" s="4"/>
      <c r="I2" s="4"/>
    </row>
    <row r="3" spans="1:14" ht="30" customHeight="1" x14ac:dyDescent="0.15">
      <c r="A3" s="2"/>
      <c r="B3" s="3"/>
      <c r="C3" s="3"/>
      <c r="D3" s="3"/>
      <c r="E3" s="3"/>
      <c r="F3" s="3"/>
      <c r="G3" s="3"/>
      <c r="H3" s="4"/>
      <c r="I3" s="4"/>
    </row>
    <row r="4" spans="1:14" ht="11.25" customHeight="1" x14ac:dyDescent="0.15">
      <c r="A4" s="110" t="s">
        <v>84</v>
      </c>
      <c r="B4" s="110"/>
      <c r="C4" s="35"/>
      <c r="D4" s="35"/>
      <c r="E4" s="35"/>
      <c r="F4" s="35"/>
      <c r="G4" s="35"/>
      <c r="H4" s="4"/>
      <c r="I4" s="4"/>
    </row>
    <row r="5" spans="1:14" ht="15" customHeight="1" x14ac:dyDescent="0.15">
      <c r="A5" s="110"/>
      <c r="B5" s="110"/>
      <c r="C5" s="35"/>
      <c r="D5" s="35"/>
      <c r="E5" s="35"/>
      <c r="F5" s="109">
        <f ca="1">TODAY()</f>
        <v>46180</v>
      </c>
      <c r="G5" s="109"/>
      <c r="H5" s="4"/>
      <c r="I5" s="4"/>
      <c r="J5" s="69" t="s">
        <v>39</v>
      </c>
      <c r="K5" s="32" t="s">
        <v>66</v>
      </c>
      <c r="L5" s="90">
        <v>1</v>
      </c>
      <c r="M5" t="s">
        <v>67</v>
      </c>
    </row>
    <row r="6" spans="1:14" ht="12" customHeight="1" x14ac:dyDescent="0.15">
      <c r="A6" s="21" t="s">
        <v>74</v>
      </c>
      <c r="B6" s="25" t="s">
        <v>38</v>
      </c>
      <c r="C6" s="25"/>
      <c r="D6" s="108"/>
      <c r="E6" s="108"/>
      <c r="F6" s="113"/>
      <c r="G6" s="113"/>
      <c r="H6" s="5"/>
      <c r="I6" s="5"/>
      <c r="J6" t="s">
        <v>47</v>
      </c>
      <c r="K6" s="46">
        <f>L5*L6</f>
        <v>5</v>
      </c>
      <c r="L6">
        <v>5</v>
      </c>
      <c r="M6" t="s">
        <v>70</v>
      </c>
    </row>
    <row r="7" spans="1:14" ht="6" customHeight="1" x14ac:dyDescent="0.15"/>
    <row r="8" spans="1:14" ht="12" customHeight="1" x14ac:dyDescent="0.15">
      <c r="A8" s="6" t="s">
        <v>0</v>
      </c>
      <c r="J8" t="s">
        <v>65</v>
      </c>
      <c r="K8" s="46">
        <f>18+87+10+15</f>
        <v>130</v>
      </c>
      <c r="L8">
        <v>0</v>
      </c>
      <c r="M8" t="s">
        <v>70</v>
      </c>
    </row>
    <row r="9" spans="1:14" ht="12" customHeight="1" x14ac:dyDescent="0.15">
      <c r="A9" s="7" t="s">
        <v>82</v>
      </c>
      <c r="J9" s="32" t="s">
        <v>59</v>
      </c>
      <c r="K9" s="39">
        <f>K6+K8</f>
        <v>135</v>
      </c>
    </row>
    <row r="10" spans="1:14" ht="12" customHeight="1" x14ac:dyDescent="0.15">
      <c r="A10" s="7" t="s">
        <v>68</v>
      </c>
      <c r="B10" s="26"/>
      <c r="C10" s="26"/>
      <c r="D10" s="7"/>
      <c r="E10" s="7"/>
      <c r="J10" s="32" t="s">
        <v>60</v>
      </c>
      <c r="K10" s="94">
        <v>30</v>
      </c>
      <c r="L10">
        <v>0</v>
      </c>
      <c r="M10" t="s">
        <v>70</v>
      </c>
    </row>
    <row r="11" spans="1:14" ht="6" customHeight="1" x14ac:dyDescent="0.15">
      <c r="A11" s="7"/>
      <c r="B11" s="7"/>
      <c r="C11" s="7"/>
      <c r="D11" s="7"/>
      <c r="K11">
        <v>0</v>
      </c>
    </row>
    <row r="12" spans="1:14" ht="12" customHeight="1" x14ac:dyDescent="0.15">
      <c r="A12" s="107" t="s">
        <v>20</v>
      </c>
      <c r="B12" s="107"/>
      <c r="C12" s="107"/>
      <c r="D12" s="107"/>
      <c r="E12" s="107"/>
      <c r="F12" s="107"/>
      <c r="G12" s="107"/>
      <c r="J12" s="92" t="s">
        <v>61</v>
      </c>
      <c r="K12" s="93">
        <f>K9+K10</f>
        <v>165</v>
      </c>
    </row>
    <row r="13" spans="1:14" ht="6" customHeight="1" x14ac:dyDescent="0.15">
      <c r="G13" t="s">
        <v>11</v>
      </c>
    </row>
    <row r="14" spans="1:14" ht="12" customHeight="1" x14ac:dyDescent="0.15">
      <c r="A14" s="26" t="s">
        <v>19</v>
      </c>
      <c r="B14" s="62"/>
      <c r="C14" s="8"/>
      <c r="D14" s="74" t="s">
        <v>37</v>
      </c>
      <c r="E14" s="99" t="s">
        <v>71</v>
      </c>
      <c r="J14" s="69" t="s">
        <v>46</v>
      </c>
      <c r="K14" s="32" t="s">
        <v>16</v>
      </c>
      <c r="L14" s="32">
        <v>0.18</v>
      </c>
    </row>
    <row r="15" spans="1:14" ht="11.25" customHeight="1" x14ac:dyDescent="0.15">
      <c r="E15" s="99" t="s">
        <v>72</v>
      </c>
    </row>
    <row r="16" spans="1:14" ht="12" customHeight="1" x14ac:dyDescent="0.15">
      <c r="A16" s="50" t="s">
        <v>21</v>
      </c>
      <c r="B16" s="29"/>
      <c r="C16" s="29"/>
      <c r="E16" s="84" t="s">
        <v>53</v>
      </c>
      <c r="F16" s="85"/>
      <c r="G16" s="86"/>
      <c r="J16" t="s">
        <v>40</v>
      </c>
      <c r="K16" s="49">
        <v>35.4</v>
      </c>
      <c r="L16">
        <v>35.4</v>
      </c>
      <c r="M16" t="s">
        <v>42</v>
      </c>
      <c r="N16" t="s">
        <v>43</v>
      </c>
    </row>
    <row r="17" spans="1:14" ht="6" customHeight="1" x14ac:dyDescent="0.15">
      <c r="E17" s="85"/>
      <c r="F17" s="86"/>
      <c r="G17" s="86"/>
    </row>
    <row r="18" spans="1:14" ht="12" customHeight="1" x14ac:dyDescent="0.15">
      <c r="A18" t="s">
        <v>73</v>
      </c>
      <c r="B18"/>
      <c r="C18"/>
      <c r="E18" s="115" t="s">
        <v>54</v>
      </c>
      <c r="F18" s="116"/>
      <c r="G18" s="116"/>
      <c r="J18" t="s">
        <v>41</v>
      </c>
      <c r="K18" s="49">
        <v>118</v>
      </c>
      <c r="L18" t="s">
        <v>42</v>
      </c>
      <c r="M18" t="s">
        <v>48</v>
      </c>
    </row>
    <row r="19" spans="1:14" ht="12" customHeight="1" x14ac:dyDescent="0.15">
      <c r="A19" s="6" t="s">
        <v>57</v>
      </c>
      <c r="B19"/>
      <c r="C19"/>
      <c r="D19" s="6"/>
      <c r="E19" s="84" t="s">
        <v>55</v>
      </c>
      <c r="F19" s="85"/>
      <c r="G19" s="85"/>
      <c r="J19" t="s">
        <v>78</v>
      </c>
      <c r="K19" s="49">
        <v>35.4</v>
      </c>
      <c r="L19" t="s">
        <v>42</v>
      </c>
      <c r="M19" t="s">
        <v>45</v>
      </c>
      <c r="N19" s="22" t="s">
        <v>15</v>
      </c>
    </row>
    <row r="20" spans="1:14" ht="12" customHeight="1" x14ac:dyDescent="0.15">
      <c r="A20" s="6"/>
      <c r="B20" s="20"/>
      <c r="C20" s="20"/>
      <c r="D20" s="6"/>
      <c r="E20" s="85" t="s">
        <v>56</v>
      </c>
      <c r="F20" s="86"/>
      <c r="G20" s="86"/>
      <c r="J20" s="95" t="s">
        <v>62</v>
      </c>
      <c r="K20" s="96">
        <f>K16+K18+K19</f>
        <v>188.8</v>
      </c>
      <c r="M20" s="91"/>
      <c r="N20" s="22">
        <v>0</v>
      </c>
    </row>
    <row r="21" spans="1:14" ht="6" customHeight="1" x14ac:dyDescent="0.15">
      <c r="A21" s="6"/>
      <c r="B21" s="20"/>
      <c r="C21" s="20"/>
      <c r="F21" s="27"/>
      <c r="G21" s="27"/>
      <c r="J21" s="91"/>
      <c r="K21" s="91"/>
      <c r="L21" s="91"/>
      <c r="M21" s="91"/>
    </row>
    <row r="22" spans="1:14" ht="12" customHeight="1" x14ac:dyDescent="0.15">
      <c r="A22" s="26" t="s">
        <v>1</v>
      </c>
      <c r="B22" s="62"/>
      <c r="C22" s="20"/>
      <c r="G22" s="27"/>
      <c r="J22" t="s">
        <v>49</v>
      </c>
      <c r="K22" s="31">
        <f>K12+K20</f>
        <v>353.8</v>
      </c>
      <c r="L22" s="91"/>
      <c r="M22" s="91"/>
      <c r="N22" s="22">
        <v>0</v>
      </c>
    </row>
    <row r="23" spans="1:14" ht="12" customHeight="1" x14ac:dyDescent="0.15">
      <c r="A23" s="26" t="s">
        <v>3</v>
      </c>
      <c r="B23" s="62"/>
      <c r="C23" s="20"/>
      <c r="F23" s="27"/>
      <c r="G23" s="27"/>
      <c r="J23" t="s">
        <v>50</v>
      </c>
      <c r="K23" s="39"/>
      <c r="L23" s="91"/>
      <c r="M23" s="91"/>
      <c r="N23" s="24">
        <v>0</v>
      </c>
    </row>
    <row r="24" spans="1:14" ht="6" customHeight="1" x14ac:dyDescent="0.15">
      <c r="F24" s="27"/>
      <c r="G24" s="27"/>
    </row>
    <row r="25" spans="1:14" ht="12" customHeight="1" x14ac:dyDescent="0.15">
      <c r="A25" t="s">
        <v>77</v>
      </c>
      <c r="B25" s="98"/>
      <c r="C25" s="30" t="s">
        <v>22</v>
      </c>
      <c r="D25" s="46"/>
      <c r="F25" s="87" t="s">
        <v>37</v>
      </c>
      <c r="G25" s="27" t="s">
        <v>37</v>
      </c>
      <c r="N25" s="24">
        <v>0</v>
      </c>
    </row>
    <row r="26" spans="1:14" ht="12" customHeight="1" x14ac:dyDescent="0.15">
      <c r="A26" t="s">
        <v>37</v>
      </c>
      <c r="B26" s="20"/>
      <c r="C26" s="30"/>
      <c r="D26" s="46">
        <v>0</v>
      </c>
      <c r="F26" s="87" t="s">
        <v>37</v>
      </c>
      <c r="G26" s="27" t="s">
        <v>37</v>
      </c>
      <c r="N26" s="24"/>
    </row>
    <row r="27" spans="1:14" ht="12" customHeight="1" x14ac:dyDescent="0.15">
      <c r="A27" t="s">
        <v>23</v>
      </c>
      <c r="B27" s="20"/>
      <c r="C27" s="30" t="s">
        <v>22</v>
      </c>
      <c r="D27" s="46"/>
      <c r="E27" s="75"/>
      <c r="N27" s="24">
        <v>0</v>
      </c>
    </row>
    <row r="28" spans="1:14" ht="6" customHeight="1" x14ac:dyDescent="0.15">
      <c r="A28" s="6"/>
      <c r="B28" s="20"/>
      <c r="C28" s="30"/>
      <c r="D28" s="46"/>
      <c r="F28" s="27"/>
      <c r="G28" s="27"/>
    </row>
    <row r="29" spans="1:14" ht="12" customHeight="1" x14ac:dyDescent="0.15">
      <c r="A29" s="26" t="s">
        <v>58</v>
      </c>
      <c r="B29" s="20"/>
      <c r="C29" s="30" t="s">
        <v>22</v>
      </c>
      <c r="D29" s="65"/>
      <c r="E29" s="5"/>
      <c r="F29" s="28"/>
      <c r="G29" s="27" t="s">
        <v>37</v>
      </c>
      <c r="J29">
        <f>20+20+20+95+180</f>
        <v>335</v>
      </c>
      <c r="L29">
        <f>703-1153.96</f>
        <v>-450.96000000000004</v>
      </c>
      <c r="N29" s="24">
        <v>0</v>
      </c>
    </row>
    <row r="30" spans="1:14" ht="6.75" customHeight="1" x14ac:dyDescent="0.15">
      <c r="A30" s="6"/>
      <c r="B30" s="20"/>
      <c r="C30" s="30"/>
      <c r="D30" s="31"/>
      <c r="F30" s="27"/>
      <c r="G30" s="27"/>
    </row>
    <row r="31" spans="1:14" ht="12" customHeight="1" x14ac:dyDescent="0.15">
      <c r="A31" s="7" t="s">
        <v>24</v>
      </c>
      <c r="B31" s="20"/>
      <c r="C31" s="30"/>
      <c r="D31" s="31"/>
      <c r="F31" s="27"/>
      <c r="G31" s="27"/>
      <c r="N31" s="23">
        <f>SUM(N40:N50)</f>
        <v>0</v>
      </c>
    </row>
    <row r="32" spans="1:14" ht="6" customHeight="1" x14ac:dyDescent="0.15">
      <c r="A32" s="6"/>
      <c r="B32" s="20"/>
      <c r="C32" s="30"/>
      <c r="D32" s="31"/>
      <c r="F32" s="27"/>
      <c r="G32" s="27"/>
    </row>
    <row r="33" spans="1:14" ht="12" customHeight="1" x14ac:dyDescent="0.15">
      <c r="B33" s="102" t="s">
        <v>64</v>
      </c>
      <c r="C33" s="61" t="s">
        <v>22</v>
      </c>
      <c r="D33" s="83"/>
      <c r="E33" s="44"/>
      <c r="F33" s="27" t="s">
        <v>37</v>
      </c>
      <c r="G33" s="47">
        <v>0</v>
      </c>
    </row>
    <row r="34" spans="1:14" ht="12" customHeight="1" x14ac:dyDescent="0.15">
      <c r="B34" s="102" t="s">
        <v>64</v>
      </c>
      <c r="C34" s="61" t="s">
        <v>22</v>
      </c>
      <c r="D34" s="83"/>
      <c r="E34" s="44"/>
      <c r="F34" s="27" t="s">
        <v>37</v>
      </c>
      <c r="G34" s="100">
        <v>0</v>
      </c>
    </row>
    <row r="35" spans="1:14" ht="12" customHeight="1" x14ac:dyDescent="0.15">
      <c r="B35" s="71"/>
      <c r="C35" s="61" t="s">
        <v>22</v>
      </c>
      <c r="D35" s="83"/>
      <c r="E35" s="44"/>
      <c r="F35" s="27" t="s">
        <v>37</v>
      </c>
      <c r="G35" s="47">
        <v>0</v>
      </c>
      <c r="H35" s="103"/>
    </row>
    <row r="36" spans="1:14" ht="12" customHeight="1" x14ac:dyDescent="0.15">
      <c r="B36" s="71"/>
      <c r="C36" s="61" t="s">
        <v>22</v>
      </c>
      <c r="D36" s="83"/>
      <c r="E36" s="44"/>
      <c r="F36" s="27" t="s">
        <v>37</v>
      </c>
      <c r="G36" s="47">
        <v>0</v>
      </c>
    </row>
    <row r="37" spans="1:14" ht="12" customHeight="1" x14ac:dyDescent="0.15">
      <c r="A37" t="s">
        <v>25</v>
      </c>
      <c r="B37" s="101" t="s">
        <v>37</v>
      </c>
      <c r="C37" s="61" t="s">
        <v>22</v>
      </c>
      <c r="D37" s="83">
        <v>0</v>
      </c>
      <c r="E37" s="44"/>
      <c r="F37" s="27" t="s">
        <v>37</v>
      </c>
      <c r="G37" s="47">
        <v>0</v>
      </c>
      <c r="H37" t="s">
        <v>44</v>
      </c>
    </row>
    <row r="38" spans="1:14" ht="9" customHeight="1" x14ac:dyDescent="0.15">
      <c r="A38" s="6"/>
      <c r="C38" s="30"/>
      <c r="D38" s="31"/>
      <c r="J38" s="15"/>
      <c r="K38" s="15"/>
      <c r="L38" s="15"/>
      <c r="M38" s="15"/>
    </row>
    <row r="39" spans="1:14" ht="12" customHeight="1" x14ac:dyDescent="0.15">
      <c r="A39" s="7" t="s">
        <v>27</v>
      </c>
      <c r="B39" s="60"/>
      <c r="C39" s="61"/>
      <c r="D39" s="7" t="s">
        <v>36</v>
      </c>
      <c r="E39" s="11"/>
      <c r="F39" s="106" t="s">
        <v>35</v>
      </c>
      <c r="G39" s="106"/>
      <c r="H39" s="15">
        <f>B41*1%</f>
        <v>34.42</v>
      </c>
      <c r="J39" s="15"/>
      <c r="K39" s="15"/>
      <c r="L39" s="15"/>
      <c r="M39" s="15"/>
    </row>
    <row r="40" spans="1:14" ht="12" customHeight="1" x14ac:dyDescent="0.15">
      <c r="A40" s="6"/>
      <c r="C40" s="30"/>
      <c r="D40" s="9" t="s">
        <v>6</v>
      </c>
      <c r="E40" s="10"/>
      <c r="J40">
        <v>3.9180000000000001</v>
      </c>
      <c r="K40" s="15"/>
      <c r="L40" s="18">
        <f>E44*J40</f>
        <v>2589.7980000000002</v>
      </c>
      <c r="M40" s="15"/>
      <c r="N40" s="22"/>
    </row>
    <row r="41" spans="1:14" ht="12" customHeight="1" x14ac:dyDescent="0.15">
      <c r="A41" s="9" t="s">
        <v>2</v>
      </c>
      <c r="B41" s="10">
        <v>3442</v>
      </c>
      <c r="C41" s="30"/>
      <c r="D41" s="9" t="s">
        <v>7</v>
      </c>
      <c r="E41" s="10">
        <v>92</v>
      </c>
      <c r="F41" s="58" t="s">
        <v>28</v>
      </c>
      <c r="G41" s="59">
        <v>2214.35</v>
      </c>
      <c r="J41" s="15"/>
      <c r="K41" s="15"/>
      <c r="L41" s="15"/>
      <c r="M41" s="15"/>
      <c r="N41" s="22"/>
    </row>
    <row r="42" spans="1:14" ht="12" customHeight="1" x14ac:dyDescent="0.15">
      <c r="A42" s="9" t="s">
        <v>4</v>
      </c>
      <c r="B42" s="10">
        <v>200</v>
      </c>
      <c r="C42" s="30"/>
      <c r="D42" s="9" t="s">
        <v>8</v>
      </c>
      <c r="E42" s="10">
        <v>569</v>
      </c>
      <c r="F42" s="58" t="s">
        <v>29</v>
      </c>
      <c r="G42" s="59">
        <v>526</v>
      </c>
      <c r="J42" s="14">
        <f>B44+E44</f>
        <v>4333</v>
      </c>
      <c r="K42" s="14">
        <f>J42*3.5%</f>
        <v>151.655</v>
      </c>
      <c r="L42" s="19">
        <f>K42*J40</f>
        <v>594.18429000000003</v>
      </c>
      <c r="M42" s="15"/>
    </row>
    <row r="43" spans="1:14" ht="12" customHeight="1" thickBot="1" x14ac:dyDescent="0.2">
      <c r="A43" s="9" t="s">
        <v>5</v>
      </c>
      <c r="B43" s="10">
        <v>30</v>
      </c>
      <c r="C43" s="30"/>
      <c r="D43" s="9" t="s">
        <v>9</v>
      </c>
      <c r="E43" s="10" t="s">
        <v>11</v>
      </c>
      <c r="G43" s="33"/>
      <c r="J43" s="15"/>
      <c r="K43" s="15"/>
      <c r="L43" s="15"/>
      <c r="M43" s="15"/>
      <c r="N43" s="22"/>
    </row>
    <row r="44" spans="1:14" ht="21.75" customHeight="1" x14ac:dyDescent="0.15">
      <c r="A44" s="57" t="s">
        <v>34</v>
      </c>
      <c r="B44" s="10">
        <f>B41+B42+B43</f>
        <v>3672</v>
      </c>
      <c r="C44" s="30"/>
      <c r="D44" s="56" t="s">
        <v>10</v>
      </c>
      <c r="E44" s="51">
        <v>661</v>
      </c>
      <c r="F44" s="63" t="s">
        <v>83</v>
      </c>
      <c r="G44" s="64"/>
      <c r="J44" s="15"/>
      <c r="K44" s="15"/>
      <c r="L44" s="15"/>
      <c r="M44" s="15"/>
      <c r="N44" s="22"/>
    </row>
    <row r="45" spans="1:14" ht="1.5" customHeight="1" x14ac:dyDescent="0.15">
      <c r="A45" s="6"/>
      <c r="C45" s="30"/>
      <c r="J45" s="15"/>
      <c r="K45" s="15"/>
      <c r="L45" s="15"/>
      <c r="M45" s="15"/>
    </row>
    <row r="46" spans="1:14" ht="8.25" customHeight="1" x14ac:dyDescent="0.15">
      <c r="A46" s="7" t="s">
        <v>26</v>
      </c>
      <c r="B46" s="71"/>
      <c r="C46" s="72" t="s">
        <v>22</v>
      </c>
      <c r="D46" s="88"/>
      <c r="F46" s="73"/>
      <c r="G46" s="89"/>
      <c r="J46" s="14" t="s">
        <v>75</v>
      </c>
      <c r="K46" s="15" t="s">
        <v>76</v>
      </c>
      <c r="M46" s="15"/>
    </row>
    <row r="47" spans="1:14" ht="14.25" customHeight="1" x14ac:dyDescent="0.15">
      <c r="A47" s="104"/>
      <c r="C47" s="11"/>
      <c r="K47" s="14"/>
    </row>
    <row r="48" spans="1:14" ht="12" customHeight="1" x14ac:dyDescent="0.15">
      <c r="A48" t="s">
        <v>30</v>
      </c>
      <c r="B48" s="97"/>
      <c r="C48" s="30" t="s">
        <v>22</v>
      </c>
      <c r="D48" s="46">
        <v>180</v>
      </c>
      <c r="E48" s="48" t="s">
        <v>12</v>
      </c>
      <c r="G48" s="47">
        <v>0</v>
      </c>
      <c r="J48" s="36" t="s">
        <v>31</v>
      </c>
    </row>
    <row r="49" spans="1:14" ht="12" customHeight="1" x14ac:dyDescent="0.15">
      <c r="A49" t="s">
        <v>79</v>
      </c>
      <c r="C49" s="30" t="s">
        <v>22</v>
      </c>
      <c r="D49" s="46">
        <v>30</v>
      </c>
      <c r="E49" s="48" t="s">
        <v>12</v>
      </c>
      <c r="G49" s="47">
        <v>0</v>
      </c>
      <c r="J49" s="37">
        <f>SUM(D48+D49+D50+D51+D52)</f>
        <v>1731.58</v>
      </c>
    </row>
    <row r="50" spans="1:14" ht="21.75" customHeight="1" x14ac:dyDescent="0.15">
      <c r="A50" t="s">
        <v>80</v>
      </c>
      <c r="B50" s="1" t="s">
        <v>81</v>
      </c>
      <c r="C50" s="30" t="s">
        <v>22</v>
      </c>
      <c r="D50" s="46">
        <v>1356.58</v>
      </c>
      <c r="E50" s="48"/>
      <c r="G50" s="47">
        <v>0</v>
      </c>
      <c r="J50" s="38">
        <f>G48</f>
        <v>0</v>
      </c>
    </row>
    <row r="51" spans="1:14" ht="12" hidden="1" customHeight="1" x14ac:dyDescent="0.15">
      <c r="C51" s="30" t="s">
        <v>22</v>
      </c>
      <c r="D51" s="46">
        <v>0</v>
      </c>
      <c r="E51" s="48" t="s">
        <v>12</v>
      </c>
      <c r="G51" s="47">
        <v>0</v>
      </c>
      <c r="J51" s="14"/>
    </row>
    <row r="52" spans="1:14" ht="15.75" customHeight="1" x14ac:dyDescent="0.15">
      <c r="A52" t="s">
        <v>85</v>
      </c>
      <c r="B52" s="34"/>
      <c r="C52" s="30" t="s">
        <v>22</v>
      </c>
      <c r="D52" s="46">
        <v>165</v>
      </c>
      <c r="E52" s="48" t="s">
        <v>12</v>
      </c>
      <c r="G52" s="47">
        <v>0</v>
      </c>
      <c r="J52" s="14" t="s">
        <v>69</v>
      </c>
      <c r="K52" s="75"/>
      <c r="L52" s="75"/>
    </row>
    <row r="53" spans="1:14" ht="12" customHeight="1" x14ac:dyDescent="0.15">
      <c r="A53" t="s">
        <v>52</v>
      </c>
      <c r="B53" s="34"/>
      <c r="C53" s="30" t="s">
        <v>22</v>
      </c>
      <c r="D53" s="70">
        <v>67.5</v>
      </c>
      <c r="E53" s="44"/>
      <c r="G53" s="76">
        <f>J50*0.18</f>
        <v>0</v>
      </c>
      <c r="J53" t="s">
        <v>16</v>
      </c>
    </row>
    <row r="54" spans="1:14" ht="12" customHeight="1" x14ac:dyDescent="0.15">
      <c r="A54" t="s">
        <v>33</v>
      </c>
      <c r="C54" s="30" t="s">
        <v>22</v>
      </c>
      <c r="D54" s="65">
        <f>D48+D49+D50+D51+D52+D53</f>
        <v>1799.08</v>
      </c>
      <c r="E54" s="44"/>
      <c r="G54" s="68">
        <f>G48+G49+G50+G51+G52+G53</f>
        <v>0</v>
      </c>
      <c r="J54" s="17" t="s">
        <v>17</v>
      </c>
      <c r="L54" s="5" t="s">
        <v>63</v>
      </c>
      <c r="M54" s="29">
        <v>3</v>
      </c>
      <c r="N54" s="18">
        <v>0</v>
      </c>
    </row>
    <row r="55" spans="1:14" ht="12" customHeight="1" x14ac:dyDescent="0.15">
      <c r="A55" s="111" t="s">
        <v>51</v>
      </c>
      <c r="B55" s="111"/>
      <c r="J55" t="s">
        <v>18</v>
      </c>
    </row>
    <row r="56" spans="1:14" ht="6" customHeight="1" x14ac:dyDescent="0.15">
      <c r="H56" s="12" t="s">
        <v>11</v>
      </c>
    </row>
    <row r="57" spans="1:14" ht="12" customHeight="1" x14ac:dyDescent="0.15">
      <c r="A57" s="66" t="s">
        <v>13</v>
      </c>
      <c r="B57" s="26"/>
      <c r="C57" s="61" t="s">
        <v>22</v>
      </c>
      <c r="D57" s="43">
        <f>D29+D33+D34+D35+D36+D37+D54</f>
        <v>1799.08</v>
      </c>
      <c r="E57" s="55"/>
      <c r="G57" s="45">
        <v>2740.35</v>
      </c>
      <c r="J57" s="17"/>
    </row>
    <row r="58" spans="1:14" ht="12" customHeight="1" x14ac:dyDescent="0.15">
      <c r="A58" s="40" t="s">
        <v>37</v>
      </c>
      <c r="B58" s="26"/>
      <c r="C58" s="61" t="s">
        <v>22</v>
      </c>
      <c r="D58" s="81">
        <v>0</v>
      </c>
      <c r="E58" s="55"/>
      <c r="G58" s="82">
        <v>0</v>
      </c>
      <c r="J58" s="7"/>
      <c r="M58" s="18">
        <f>D52*J40</f>
        <v>646.47</v>
      </c>
      <c r="N58" s="17">
        <f>M58-N54</f>
        <v>646.47</v>
      </c>
    </row>
    <row r="59" spans="1:14" ht="12" customHeight="1" x14ac:dyDescent="0.15">
      <c r="A59" s="41" t="s">
        <v>14</v>
      </c>
      <c r="B59" s="26"/>
      <c r="C59" s="61" t="s">
        <v>22</v>
      </c>
      <c r="D59" s="79">
        <v>0</v>
      </c>
      <c r="E59" s="55"/>
      <c r="G59" s="77">
        <v>0</v>
      </c>
    </row>
    <row r="60" spans="1:14" ht="12" customHeight="1" thickBot="1" x14ac:dyDescent="0.2">
      <c r="A60" s="42" t="s">
        <v>32</v>
      </c>
      <c r="B60" s="26"/>
      <c r="C60" s="61" t="s">
        <v>22</v>
      </c>
      <c r="D60" s="80"/>
      <c r="E60" s="55"/>
      <c r="G60" s="78"/>
    </row>
    <row r="61" spans="1:14" ht="13.5" customHeight="1" thickTop="1" x14ac:dyDescent="0.15">
      <c r="A61" s="67" t="s">
        <v>49</v>
      </c>
      <c r="B61"/>
      <c r="C61" s="30" t="s">
        <v>22</v>
      </c>
      <c r="D61" s="52">
        <v>1799.08</v>
      </c>
      <c r="E61" s="53"/>
      <c r="G61" s="54">
        <v>2740.35</v>
      </c>
    </row>
    <row r="62" spans="1:14" ht="6" customHeight="1" x14ac:dyDescent="0.15">
      <c r="C62"/>
      <c r="M62" s="1"/>
    </row>
    <row r="63" spans="1:14" ht="12" customHeight="1" x14ac:dyDescent="0.15">
      <c r="A63" s="105"/>
      <c r="B63" s="105"/>
      <c r="C63" s="13"/>
      <c r="D63" s="13"/>
      <c r="F63" s="114"/>
      <c r="G63" s="114"/>
      <c r="K63" s="1"/>
      <c r="L63" s="30"/>
      <c r="M63" s="46"/>
    </row>
    <row r="64" spans="1:14" ht="12" customHeight="1" x14ac:dyDescent="0.15">
      <c r="A64" s="105"/>
      <c r="B64" s="105"/>
      <c r="C64" s="13"/>
      <c r="D64" s="13"/>
      <c r="F64" s="112"/>
      <c r="G64" s="112"/>
      <c r="K64" s="1"/>
      <c r="L64" s="30"/>
      <c r="M64" s="46"/>
    </row>
    <row r="65" spans="1:13" ht="12" customHeight="1" x14ac:dyDescent="0.15">
      <c r="A65" s="105"/>
      <c r="B65" s="105"/>
      <c r="C65" s="13"/>
      <c r="D65" s="13"/>
      <c r="F65" s="105"/>
      <c r="G65" s="105"/>
      <c r="K65" s="1"/>
      <c r="L65" s="30"/>
      <c r="M65" s="46"/>
    </row>
    <row r="66" spans="1:13" ht="12" customHeight="1" x14ac:dyDescent="0.15">
      <c r="A66" s="105"/>
      <c r="B66" s="105"/>
      <c r="C66" s="13"/>
      <c r="D66" s="13"/>
      <c r="F66" s="105"/>
      <c r="G66" s="105"/>
      <c r="K66" s="1"/>
      <c r="L66" s="30"/>
      <c r="M66" s="46"/>
    </row>
    <row r="67" spans="1:13" ht="12" customHeight="1" x14ac:dyDescent="0.15">
      <c r="A67" s="105"/>
      <c r="B67" s="105"/>
      <c r="C67" s="13"/>
      <c r="D67" s="13"/>
      <c r="K67" s="34"/>
      <c r="L67" s="30"/>
      <c r="M67" s="46"/>
    </row>
    <row r="68" spans="1:13" ht="15" x14ac:dyDescent="0.2">
      <c r="G68" s="16"/>
    </row>
    <row r="69" spans="1:13" ht="15" x14ac:dyDescent="0.2">
      <c r="G69" s="16"/>
    </row>
  </sheetData>
  <sheetProtection selectLockedCells="1" selectUnlockedCells="1"/>
  <mergeCells count="17">
    <mergeCell ref="D6:E6"/>
    <mergeCell ref="F5:G5"/>
    <mergeCell ref="A4:B5"/>
    <mergeCell ref="A55:B55"/>
    <mergeCell ref="A63:B63"/>
    <mergeCell ref="F6:G6"/>
    <mergeCell ref="F63:G63"/>
    <mergeCell ref="E18:G18"/>
    <mergeCell ref="A65:B65"/>
    <mergeCell ref="A66:B66"/>
    <mergeCell ref="A67:B67"/>
    <mergeCell ref="F39:G39"/>
    <mergeCell ref="A12:G12"/>
    <mergeCell ref="F65:G65"/>
    <mergeCell ref="F66:G66"/>
    <mergeCell ref="F64:G64"/>
    <mergeCell ref="A64:B64"/>
  </mergeCells>
  <dataValidations count="30">
    <dataValidation type="list" allowBlank="1" showInputMessage="1" showErrorMessage="1" sqref="A6" xr:uid="{A30B6291-750B-4844-8D2E-CBD2CCD8A5CB}">
      <formula1>"FCL 1X20',LCL AEREO,-,FCL 1X40',FCL, LCL MARITIMO"</formula1>
    </dataValidation>
    <dataValidation type="list" allowBlank="1" showInputMessage="1" showErrorMessage="1" sqref="A10" xr:uid="{955D4A97-9640-4A76-A8AC-D0D38EFF9E7A}">
      <formula1>"Atención: Srta.,Atención: Sr.,-,"</formula1>
    </dataValidation>
    <dataValidation type="list" allowBlank="1" showInputMessage="1" showErrorMessage="1" sqref="C14" xr:uid="{B9991364-A2E7-4D2A-BE47-32A9042FB1BA}">
      <formula1>"EXW,FOB,-,FCA,"</formula1>
    </dataValidation>
    <dataValidation type="list" allowBlank="1" showInputMessage="1" showErrorMessage="1" sqref="A14" xr:uid="{4FE45A3B-ABD6-41D7-87BC-8C1392FAD079}">
      <formula1>"Importación:,Exportación:,-,"</formula1>
    </dataValidation>
    <dataValidation type="list" allowBlank="1" showInputMessage="1" showErrorMessage="1" sqref="E48:E52" xr:uid="{6317074B-394E-4FFE-AB43-CBEFC03DBF28}">
      <formula1>"APROX. Incl. IGV,APROX. + IGV,*,"</formula1>
    </dataValidation>
    <dataValidation type="list" allowBlank="1" showInputMessage="1" showErrorMessage="1" sqref="A58" xr:uid="{FEC5E8D1-1247-4760-98A7-B59411BC0E77}">
      <formula1>"SALDO A FAVOR DE MJ,SALDO A FAVOR DEL CLIENTE,-"</formula1>
    </dataValidation>
    <dataValidation type="list" allowBlank="1" showInputMessage="1" showErrorMessage="1" sqref="B6" xr:uid="{EB12C337-47C3-49B3-94C3-EC70E4B7B8DF}">
      <formula1>"CARGA GENERAL,NO IMO,CARGA IMO,"</formula1>
    </dataValidation>
    <dataValidation type="list" allowBlank="1" showInputMessage="1" showErrorMessage="1" sqref="D14" xr:uid="{73F10FEA-7CB5-4176-8ED9-41DA6F57AC1C}">
      <formula1>"Recojo :,-,"</formula1>
    </dataValidation>
    <dataValidation type="list" allowBlank="1" showInputMessage="1" showErrorMessage="1" sqref="M22:M23 M6 M10 M8" xr:uid="{4C08ED46-E30D-4D22-B399-D784EBF42CD9}">
      <formula1>"USD,EUR"</formula1>
    </dataValidation>
    <dataValidation type="list" allowBlank="1" showInputMessage="1" showErrorMessage="1" sqref="F46" xr:uid="{996E1B08-70EA-4C14-B2E0-9352EF7F17E0}">
      <formula1>"ORDEN :,-,"</formula1>
    </dataValidation>
    <dataValidation type="list" allowBlank="1" showInputMessage="1" showErrorMessage="1" sqref="B46" xr:uid="{1C6A61F4-3A42-4F25-8E3C-AB3FEBBDD4D5}">
      <formula1>"DAM,-,"</formula1>
    </dataValidation>
    <dataValidation type="list" allowBlank="1" showInputMessage="1" showErrorMessage="1" sqref="G25:G26 F33:F37" xr:uid="{6C34B149-EF50-447B-8B2A-FA7C7189BC44}">
      <formula1>"21 dias libres,-,30 días libres,25 días libres"</formula1>
    </dataValidation>
    <dataValidation type="list" allowBlank="1" showInputMessage="1" showErrorMessage="1" sqref="F26" xr:uid="{B55B53BA-6FB8-453F-AEE9-1D82263512AB}">
      <formula1>"Almacenaje:,-,"</formula1>
    </dataValidation>
    <dataValidation type="list" allowBlank="1" showInputMessage="1" showErrorMessage="1" sqref="F25:F26" xr:uid="{FB14B842-1DDB-48FD-B8A9-4F1D840731C4}">
      <formula1>"Sobrestadia:,-,"</formula1>
    </dataValidation>
    <dataValidation type="list" allowBlank="1" showInputMessage="1" showErrorMessage="1" sqref="E29" xr:uid="{2485BA0F-F524-427D-8303-BF736C798D54}">
      <formula1>"Tránsito:,Salidas:,-,"</formula1>
    </dataValidation>
    <dataValidation type="list" allowBlank="1" showInputMessage="1" showErrorMessage="1" sqref="F29" xr:uid="{0873B370-950A-4C6E-B70F-50849DFC6066}">
      <formula1>"10 días aprox.,-,Semanal,"</formula1>
    </dataValidation>
    <dataValidation type="list" allowBlank="1" showInputMessage="1" showErrorMessage="1" sqref="G29" xr:uid="{6CD05605-8BA0-42B2-BD1E-4A8D2B14216F}">
      <formula1>"* Servicio directo,-,Sobrestadia 21 días libres"</formula1>
    </dataValidation>
    <dataValidation type="list" allowBlank="1" showInputMessage="1" showErrorMessage="1" sqref="E33" xr:uid="{EBA7D6F2-7BDF-43EA-91A2-E22EDB9EAB49}">
      <formula1>"x tn. (total),-,Incl. IGV,Aprox. +IGV,Aprox. Incl. IGV"</formula1>
    </dataValidation>
    <dataValidation type="list" allowBlank="1" showInputMessage="1" showErrorMessage="1" sqref="E34:E36" xr:uid="{624D3A7F-8994-42EF-A860-2EB2C0B46475}">
      <formula1>"Aprox. Incl. IGV,Aprox. + IGV,Incl. IGV"</formula1>
    </dataValidation>
    <dataValidation type="list" allowBlank="1" showInputMessage="1" showErrorMessage="1" sqref="E37" xr:uid="{7C6BA653-7CE1-4011-AD0B-51F2C729664D}">
      <formula1>"Aprox. Incl. IGV,Aprox. + IGV,Incl. IGV,-"</formula1>
    </dataValidation>
    <dataValidation type="list" allowBlank="1" showInputMessage="1" showErrorMessage="1" sqref="A37" xr:uid="{F8A10D87-455A-455E-9448-7BA865BAF990}">
      <formula1>"Otros,-,"</formula1>
    </dataValidation>
    <dataValidation type="list" allowBlank="1" showInputMessage="1" showErrorMessage="1" sqref="A33" xr:uid="{EEF424B7-93AA-4499-A304-DCF985D93EBF}">
      <formula1>"Descarga,Devolución,-,Retiro FCL,Visto Bueno,Desconsolidacion"</formula1>
    </dataValidation>
    <dataValidation type="list" allowBlank="1" showInputMessage="1" showErrorMessage="1" sqref="B37" xr:uid="{1E5152C2-9256-48B8-B73A-6681D3D5759B}">
      <formula1>"Retiro Almacen,Retiro LCL,Retiro FCL,-,Recargo Doc Aduana"</formula1>
    </dataValidation>
    <dataValidation type="list" allowBlank="1" showInputMessage="1" showErrorMessage="1" sqref="B14" xr:uid="{A0796D24-2A60-4999-805C-D811374BD66E}">
      <formula1>"EXW,FOB,-,FCA,ADUANA,"</formula1>
    </dataValidation>
    <dataValidation type="list" allowBlank="1" showInputMessage="1" showErrorMessage="1" sqref="A25" xr:uid="{D1DFDDC0-BD53-4BCE-835B-23C4C077C48B}">
      <formula1>"OCEAN FREIGHT,-,AIR FREIGHT"</formula1>
    </dataValidation>
    <dataValidation type="list" allowBlank="1" showInputMessage="1" showErrorMessage="1" sqref="A26:A27" xr:uid="{F087BAE5-1132-432B-9E8E-C493CCA73A99}">
      <formula1>"GASTOS EXW**,BUNKER**,-,LOCAL CHARGE"</formula1>
    </dataValidation>
    <dataValidation type="list" allowBlank="1" showInputMessage="1" showErrorMessage="1" sqref="J8" xr:uid="{972D2D6F-B521-4B7B-BA57-EBB816B83F89}">
      <formula1>"DTHC,DOC FEE,HANDLING FEE,LOCAL CHARGE"</formula1>
    </dataValidation>
    <dataValidation type="list" allowBlank="1" showInputMessage="1" showErrorMessage="1" sqref="J19" xr:uid="{66048139-4565-4C5A-9F5D-DDEC3CC1350D}">
      <formula1>"HANDLING,TRANS. FEE.-"</formula1>
    </dataValidation>
    <dataValidation type="list" allowBlank="1" showInputMessage="1" showErrorMessage="1" sqref="A34" xr:uid="{553B22C6-0594-4C2C-B993-B231FF39C49F}">
      <formula1>"Descarga,Devolución FCL,-,Retiro FCL,Visto Bueno,Multa"</formula1>
    </dataValidation>
    <dataValidation type="list" allowBlank="1" showInputMessage="1" showErrorMessage="1" sqref="A35:A36" xr:uid="{AF61D5BE-1019-477C-8B8B-48FC6491BA00}">
      <formula1>"Handling,Transmisión Fee,-,Handling Fee,MULTA (97 TP) / INF. LEY. TRIB.,Devolución FCL,Visto Bueno"</formula1>
    </dataValidation>
  </dataValidations>
  <printOptions horizontalCentered="1"/>
  <pageMargins left="0.55118110236220474" right="0.59055118110236227" top="0.23622047244094491" bottom="0.98425196850393704" header="0.51181102362204722" footer="0.51181102362204722"/>
  <pageSetup paperSize="9" scale="87" firstPageNumber="0" orientation="portrait" horizontalDpi="4294967293" verticalDpi="300" r:id="rId1"/>
  <headerFooter alignWithMargins="0">
    <oddFooter>&amp;R &amp;"+,Negrita"L.MIGUEL JAYME LAZARO&amp;"+,Normal"
MOVIL: 970 048 915
938593027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C86CC-A7BF-47A6-A1A4-FA50A2B4AE77}">
  <dimension ref="A1"/>
  <sheetViews>
    <sheetView workbookViewId="0"/>
  </sheetViews>
  <sheetFormatPr defaultRowHeight="12.75" x14ac:dyDescent="0.15"/>
  <cols>
    <col min="1" max="256" width="11.4609375" customWidth="1"/>
  </cols>
  <sheetData/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D42EF-EDEE-4E36-8D72-71C1AB95F56B}">
  <dimension ref="A1"/>
  <sheetViews>
    <sheetView workbookViewId="0"/>
  </sheetViews>
  <sheetFormatPr defaultRowHeight="12.75" x14ac:dyDescent="0.15"/>
  <cols>
    <col min="1" max="256" width="11.4609375" customWidth="1"/>
  </cols>
  <sheetData/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X</cp:lastModifiedBy>
  <cp:lastPrinted>2023-02-01T17:11:44Z</cp:lastPrinted>
  <dcterms:created xsi:type="dcterms:W3CDTF">2010-09-17T23:29:34Z</dcterms:created>
  <dcterms:modified xsi:type="dcterms:W3CDTF">2026-06-07T15:37:09Z</dcterms:modified>
</cp:coreProperties>
</file>